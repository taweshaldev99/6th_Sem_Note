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E:\academic\lecture notes\data mining\Data Mining - 2016 NCIT MSC\Lecture Notes\Data mining - lecture notes\"/>
    </mc:Choice>
  </mc:AlternateContent>
  <xr:revisionPtr revIDLastSave="0" documentId="11_708ED46EB704D5076C1D7017D0301203C5614F68" xr6:coauthVersionLast="47" xr6:coauthVersionMax="47" xr10:uidLastSave="{00000000-0000-0000-0000-000000000000}"/>
  <bookViews>
    <workbookView xWindow="0" yWindow="0" windowWidth="15345" windowHeight="46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/>
  <c r="L12" i="1"/>
  <c r="N13" i="1"/>
  <c r="N12" i="1"/>
  <c r="N14" i="1"/>
  <c r="N15" i="1"/>
  <c r="M15" i="1"/>
  <c r="M14" i="1"/>
  <c r="M13" i="1"/>
  <c r="M12" i="1"/>
  <c r="K15" i="1"/>
  <c r="K14" i="1"/>
  <c r="K13" i="1"/>
  <c r="K12" i="1"/>
  <c r="J13" i="1"/>
  <c r="J14" i="1"/>
  <c r="J15" i="1"/>
  <c r="J12" i="1"/>
  <c r="I15" i="1"/>
  <c r="I14" i="1"/>
  <c r="I13" i="1"/>
  <c r="I12" i="1"/>
  <c r="H15" i="1"/>
  <c r="H14" i="1"/>
  <c r="H13" i="1"/>
  <c r="H12" i="1"/>
  <c r="E15" i="1"/>
  <c r="E13" i="1"/>
  <c r="E14" i="1"/>
  <c r="E12" i="1"/>
  <c r="G14" i="1"/>
  <c r="G15" i="1"/>
  <c r="G13" i="1"/>
  <c r="G12" i="1"/>
  <c r="F13" i="1"/>
  <c r="F15" i="1"/>
  <c r="F14" i="1"/>
  <c r="F12" i="1"/>
  <c r="D15" i="1"/>
  <c r="P15" i="1" s="1"/>
  <c r="D14" i="1"/>
  <c r="P14" i="1" s="1"/>
  <c r="D13" i="1"/>
  <c r="P13" i="1" s="1"/>
  <c r="D12" i="1"/>
  <c r="P12" i="1" s="1"/>
</calcChain>
</file>

<file path=xl/sharedStrings.xml><?xml version="1.0" encoding="utf-8"?>
<sst xmlns="http://schemas.openxmlformats.org/spreadsheetml/2006/main" count="45" uniqueCount="43">
  <si>
    <t>Vector Space Model</t>
  </si>
  <si>
    <t>Ref: http://www.slideshare.net/dalal404/document-similarity-with-vector-space-model</t>
  </si>
  <si>
    <t>D1 = "Shipment of gold damaged in a fire"</t>
  </si>
  <si>
    <t>D2 = "Delivery of silver arrived in a silver truck"</t>
  </si>
  <si>
    <t>D3 = "Shipment of gold arrived in a truck"</t>
  </si>
  <si>
    <t>Query (Q) = "gold silver truck"</t>
  </si>
  <si>
    <t>TF = number of occurance in document ( you can narmalize by deviding total number of document words)</t>
  </si>
  <si>
    <t>IDF = log(N/number of doc that occurance)</t>
  </si>
  <si>
    <t>Weight ( W) = TF*IDF</t>
  </si>
  <si>
    <t xml:space="preserve">shipment </t>
  </si>
  <si>
    <t xml:space="preserve">of </t>
  </si>
  <si>
    <t xml:space="preserve">gold </t>
  </si>
  <si>
    <t xml:space="preserve">damaged </t>
  </si>
  <si>
    <t>a</t>
  </si>
  <si>
    <t>fire</t>
  </si>
  <si>
    <t>delivery</t>
  </si>
  <si>
    <t>silver</t>
  </si>
  <si>
    <t>arrived</t>
  </si>
  <si>
    <t>in</t>
  </si>
  <si>
    <t>truck</t>
  </si>
  <si>
    <t>Class level ( this is just assumption of class level, if you want to make training set for classifier)</t>
  </si>
  <si>
    <t>Euclidian Length |D|</t>
  </si>
  <si>
    <t>D1</t>
  </si>
  <si>
    <t>positive</t>
  </si>
  <si>
    <t>D2</t>
  </si>
  <si>
    <t>negative</t>
  </si>
  <si>
    <t>D3</t>
  </si>
  <si>
    <t>Q</t>
  </si>
  <si>
    <t>Now, you can use a row of weight as a vector ( w1, w2, w3….wn)</t>
  </si>
  <si>
    <t>So, here is 3 vectors for document 1,2 and 3 and one more vector of query</t>
  </si>
  <si>
    <t>Dot product of two vectors {w1, w2, w3} and {u1,u2} is w1*u1+w2*u2</t>
  </si>
  <si>
    <r>
      <t xml:space="preserve">Euclidean length of d1 is </t>
    </r>
    <r>
      <rPr>
        <sz val="11"/>
        <color theme="1"/>
        <rFont val="MatiqueSSi"/>
      </rPr>
      <t xml:space="preserve"> √ (w1)2 + (w2)2 + (w3)2</t>
    </r>
  </si>
  <si>
    <t>Cosine Similarity</t>
  </si>
  <si>
    <t>sim(d1,d2) = V(d1).V(d2)/ |V(d1)||V(d2)</t>
  </si>
  <si>
    <t>dot prod  Q • Di = √ (wQ,j * wi,j )</t>
  </si>
  <si>
    <t>Q • D1 = 0.1761 * 0.1761 = 0.0310</t>
  </si>
  <si>
    <t>Q • D2 = 0.4771*0.9542 + 0.1761*0.1761 = 0.4862</t>
  </si>
  <si>
    <t xml:space="preserve">Q • D3 = 0.1761*0.1761 + 0.1761*0.1761 = 0.0620 </t>
  </si>
  <si>
    <t>Calculate cosine value</t>
  </si>
  <si>
    <t>Cosine θ (d1) = Q • D1 /|Q|*|D1| = 0.0310/(0.5382 * 0.7192) = 0.0801</t>
  </si>
  <si>
    <t>Cosine θ (d2) = Q • D2 /|Q|*|D2| = 0.4862/(0.5382 * 1.0955) = 0.8246</t>
  </si>
  <si>
    <t>Cosine θ (d3) = Q • D3 /|Q|*|D3| = 0.0620/(0.5382 * 0.3522) = 0.3271</t>
  </si>
  <si>
    <t>So, document D2 is most similar to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</si>
</sst>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atiqueSS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0" fillId="0" borderId="1" xfId="0" applyNumberFormat="1" applyBorder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33"/>
  <sheetViews>
    <sheetView tabSelected="1" topLeftCell="C2" zoomScale="178" zoomScaleNormal="178" workbookViewId="0">
      <selection activeCell="D2" sqref="D2"/>
    </sheetView>
  </sheetViews>
  <sheetFormatPr defaultRowHeight="15"/>
  <cols>
    <col min="3" max="3" width="10.42578125" customWidth="1"/>
    <col min="4" max="4" width="10" bestFit="1" customWidth="1"/>
    <col min="5" max="5" width="7" customWidth="1"/>
    <col min="6" max="6" width="7.5703125" bestFit="1" customWidth="1"/>
    <col min="7" max="7" width="9.7109375" bestFit="1" customWidth="1"/>
    <col min="8" max="9" width="7.5703125" bestFit="1" customWidth="1"/>
    <col min="10" max="10" width="8.42578125" bestFit="1" customWidth="1"/>
    <col min="11" max="11" width="10.85546875" customWidth="1"/>
    <col min="12" max="14" width="7.5703125" bestFit="1" customWidth="1"/>
    <col min="15" max="15" width="33" style="1" customWidth="1"/>
    <col min="16" max="16" width="19.42578125" bestFit="1" customWidth="1"/>
  </cols>
  <sheetData>
    <row r="1" spans="3:16" ht="15.75">
      <c r="C1" s="14" t="s">
        <v>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3:16">
      <c r="C2" t="s">
        <v>1</v>
      </c>
    </row>
    <row r="3" spans="3:16">
      <c r="C3" s="12" t="s"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6">
      <c r="C4" s="12" t="s">
        <v>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3:16">
      <c r="C5" s="12" t="s">
        <v>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3:16">
      <c r="C6" s="12" t="s">
        <v>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3:16">
      <c r="C7" s="15" t="s">
        <v>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3:16">
      <c r="C8" s="12" t="s">
        <v>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3:16">
      <c r="C9" s="12" t="s">
        <v>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1" spans="3:16" ht="45">
      <c r="C11" s="3"/>
      <c r="D11" s="7" t="s">
        <v>9</v>
      </c>
      <c r="E11" s="7" t="s">
        <v>10</v>
      </c>
      <c r="F11" s="7" t="s">
        <v>11</v>
      </c>
      <c r="G11" s="7" t="s">
        <v>12</v>
      </c>
      <c r="H11" s="7" t="s">
        <v>13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  <c r="N11" s="7" t="s">
        <v>19</v>
      </c>
      <c r="O11" s="4" t="s">
        <v>20</v>
      </c>
      <c r="P11" s="8" t="s">
        <v>21</v>
      </c>
    </row>
    <row r="12" spans="3:16">
      <c r="C12" s="6" t="s">
        <v>22</v>
      </c>
      <c r="D12" s="9">
        <f>1*LOG(3/2,10)</f>
        <v>0.17609125905568124</v>
      </c>
      <c r="E12" s="9">
        <f>1*LOG(3/3,10)</f>
        <v>0</v>
      </c>
      <c r="F12" s="9">
        <f t="shared" ref="F12:N15" si="0">1*LOG(3/2,10)</f>
        <v>0.17609125905568124</v>
      </c>
      <c r="G12" s="9">
        <f>1*LOG(3/1,10)</f>
        <v>0.47712125471966244</v>
      </c>
      <c r="H12" s="9">
        <f>1*LOG(3/3,10)</f>
        <v>0</v>
      </c>
      <c r="I12" s="9">
        <f>1*LOG(3/1,10)</f>
        <v>0.47712125471966244</v>
      </c>
      <c r="J12" s="9">
        <f>0*LOG(3/1,10)</f>
        <v>0</v>
      </c>
      <c r="K12" s="9">
        <f>0*LOG(3/1,10)</f>
        <v>0</v>
      </c>
      <c r="L12" s="9">
        <f>0*LOG(3/2,10)</f>
        <v>0</v>
      </c>
      <c r="M12" s="9">
        <f>1*LOG(3/3,10)</f>
        <v>0</v>
      </c>
      <c r="N12" s="9">
        <f>0*LOG(3/2,10)</f>
        <v>0</v>
      </c>
      <c r="O12" s="5" t="s">
        <v>23</v>
      </c>
      <c r="P12" s="2">
        <f>SQRT(D12*D12+E12*E12+F12*F12+G12*G12+H12*H12+I12*I12+J12*J12+K12*K12+L12*L12+M12*M12+N12*N12)</f>
        <v>0.71923963075053088</v>
      </c>
    </row>
    <row r="13" spans="3:16">
      <c r="C13" s="6" t="s">
        <v>24</v>
      </c>
      <c r="D13" s="9">
        <f>0*LOG(3/2,10)</f>
        <v>0</v>
      </c>
      <c r="E13" s="9">
        <f t="shared" ref="E13:E14" si="1">1*LOG(3/3,10)</f>
        <v>0</v>
      </c>
      <c r="F13" s="9">
        <f>0*LOG(3/2,10)</f>
        <v>0</v>
      </c>
      <c r="G13" s="9">
        <f>0*LOG(3/1,10)</f>
        <v>0</v>
      </c>
      <c r="H13" s="9">
        <f t="shared" ref="H13:H14" si="2">1*LOG(3/3,10)</f>
        <v>0</v>
      </c>
      <c r="I13" s="9">
        <f>0*LOG(3/1,10)</f>
        <v>0</v>
      </c>
      <c r="J13" s="9">
        <f>1*LOG(3/1,10)</f>
        <v>0.47712125471966244</v>
      </c>
      <c r="K13" s="9">
        <f>1*LOG(3/1,10)</f>
        <v>0.47712125471966244</v>
      </c>
      <c r="L13" s="9">
        <f>1*LOG(3/2,10)</f>
        <v>0.17609125905568124</v>
      </c>
      <c r="M13" s="9">
        <f t="shared" ref="M13:M14" si="3">1*LOG(3/3,10)</f>
        <v>0</v>
      </c>
      <c r="N13" s="9">
        <f>1*LOG(3/2,10)</f>
        <v>0.17609125905568124</v>
      </c>
      <c r="O13" s="5" t="s">
        <v>25</v>
      </c>
      <c r="P13" s="2">
        <f t="shared" ref="P13:P15" si="4">SQRT(D13*D13+E13*E13+F13*F13+G13*G13+H13*H13+I13*I13+J13*J13+K13*K13+L13*L13+M13*M13+N13*N13)</f>
        <v>0.71923963075053088</v>
      </c>
    </row>
    <row r="14" spans="3:16">
      <c r="C14" s="6" t="s">
        <v>26</v>
      </c>
      <c r="D14" s="9">
        <f>1*LOG(3/2,10)</f>
        <v>0.17609125905568124</v>
      </c>
      <c r="E14" s="9">
        <f t="shared" si="1"/>
        <v>0</v>
      </c>
      <c r="F14" s="9">
        <f t="shared" si="0"/>
        <v>0.17609125905568124</v>
      </c>
      <c r="G14" s="9">
        <f t="shared" ref="G14:I15" si="5">0*LOG(3/1,10)</f>
        <v>0</v>
      </c>
      <c r="H14" s="9">
        <f t="shared" si="2"/>
        <v>0</v>
      </c>
      <c r="I14" s="9">
        <f t="shared" si="5"/>
        <v>0</v>
      </c>
      <c r="J14" s="9">
        <f t="shared" ref="J14:K15" si="6">0*LOG(3/1,10)</f>
        <v>0</v>
      </c>
      <c r="K14" s="9">
        <f t="shared" si="6"/>
        <v>0</v>
      </c>
      <c r="L14" s="9">
        <f t="shared" si="0"/>
        <v>0.17609125905568124</v>
      </c>
      <c r="M14" s="9">
        <f t="shared" si="3"/>
        <v>0</v>
      </c>
      <c r="N14" s="9">
        <f t="shared" si="0"/>
        <v>0.17609125905568124</v>
      </c>
      <c r="O14" s="5" t="s">
        <v>25</v>
      </c>
      <c r="P14" s="2">
        <f t="shared" si="4"/>
        <v>0.35218251811136247</v>
      </c>
    </row>
    <row r="15" spans="3:16">
      <c r="C15" s="6" t="s">
        <v>27</v>
      </c>
      <c r="D15" s="9">
        <f>0*LOG(3/2,10)</f>
        <v>0</v>
      </c>
      <c r="E15" s="9">
        <f>0*LOG(3/3,10)</f>
        <v>0</v>
      </c>
      <c r="F15" s="9">
        <f t="shared" si="0"/>
        <v>0.17609125905568124</v>
      </c>
      <c r="G15" s="9">
        <f t="shared" si="5"/>
        <v>0</v>
      </c>
      <c r="H15" s="9">
        <f>0*LOG(3/3,10)</f>
        <v>0</v>
      </c>
      <c r="I15" s="9">
        <f t="shared" si="5"/>
        <v>0</v>
      </c>
      <c r="J15" s="9">
        <f t="shared" si="6"/>
        <v>0</v>
      </c>
      <c r="K15" s="9">
        <f>1*LOG(3/1,10)</f>
        <v>0.47712125471966244</v>
      </c>
      <c r="L15" s="9">
        <f>0*LOG(3/2,10)</f>
        <v>0</v>
      </c>
      <c r="M15" s="9">
        <f>0*LOG(3/3,10)</f>
        <v>0</v>
      </c>
      <c r="N15" s="9">
        <f t="shared" si="0"/>
        <v>0.17609125905568124</v>
      </c>
      <c r="O15" s="5" t="s">
        <v>23</v>
      </c>
      <c r="P15" s="2">
        <f t="shared" si="4"/>
        <v>0.53820159302708781</v>
      </c>
    </row>
    <row r="16" spans="3:16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P16" s="2"/>
    </row>
    <row r="18" spans="3:14">
      <c r="C18" s="13" t="s">
        <v>28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3:14">
      <c r="C19" s="13" t="s">
        <v>29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1" spans="3:14">
      <c r="C21" t="s">
        <v>30</v>
      </c>
    </row>
    <row r="22" spans="3:14">
      <c r="C22" t="s">
        <v>31</v>
      </c>
    </row>
    <row r="24" spans="3:14">
      <c r="C24" t="s">
        <v>32</v>
      </c>
      <c r="F24" t="s">
        <v>33</v>
      </c>
    </row>
    <row r="25" spans="3:14">
      <c r="C25" s="11" t="s">
        <v>34</v>
      </c>
    </row>
    <row r="26" spans="3:14">
      <c r="C26" t="s">
        <v>35</v>
      </c>
    </row>
    <row r="27" spans="3:14">
      <c r="C27" t="s">
        <v>36</v>
      </c>
    </row>
    <row r="28" spans="3:14">
      <c r="C28" t="s">
        <v>37</v>
      </c>
    </row>
    <row r="29" spans="3:14">
      <c r="C29" t="s">
        <v>38</v>
      </c>
    </row>
    <row r="30" spans="3:14">
      <c r="C30" t="s">
        <v>39</v>
      </c>
    </row>
    <row r="31" spans="3:14">
      <c r="C31" t="s">
        <v>40</v>
      </c>
    </row>
    <row r="32" spans="3:14">
      <c r="C32" t="s">
        <v>41</v>
      </c>
    </row>
    <row r="33" spans="3:3">
      <c r="C33" t="s">
        <v>42</v>
      </c>
    </row>
  </sheetData>
  <mergeCells count="10">
    <mergeCell ref="C8:N8"/>
    <mergeCell ref="C9:N9"/>
    <mergeCell ref="C18:N18"/>
    <mergeCell ref="C19:N19"/>
    <mergeCell ref="C1:N1"/>
    <mergeCell ref="C3:N3"/>
    <mergeCell ref="C4:N4"/>
    <mergeCell ref="C5:N5"/>
    <mergeCell ref="C6:N6"/>
    <mergeCell ref="C7:N7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e9110a-28b2-4c73-b490-2f1f5217b8f0" xsi:nil="true"/>
    <lcf76f155ced4ddcb4097134ff3c332f xmlns="7d5e74fd-7666-4687-a8a8-e7b14a3810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D85BC27275743B50F7D5E05F6F235" ma:contentTypeVersion="14" ma:contentTypeDescription="Create a new document." ma:contentTypeScope="" ma:versionID="558a7cbfbb107f2ecf458ea790a547ff">
  <xsd:schema xmlns:xsd="http://www.w3.org/2001/XMLSchema" xmlns:xs="http://www.w3.org/2001/XMLSchema" xmlns:p="http://schemas.microsoft.com/office/2006/metadata/properties" xmlns:ns2="cfe9110a-28b2-4c73-b490-2f1f5217b8f0" xmlns:ns3="7d5e74fd-7666-4687-a8a8-e7b14a38106f" targetNamespace="http://schemas.microsoft.com/office/2006/metadata/properties" ma:root="true" ma:fieldsID="8e49c8888ca6dd303b01860966cfe0bc" ns2:_="" ns3:_="">
    <xsd:import namespace="cfe9110a-28b2-4c73-b490-2f1f5217b8f0"/>
    <xsd:import namespace="7d5e74fd-7666-4687-a8a8-e7b14a38106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9110a-28b2-4c73-b490-2f1f5217b8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f8b73c-3ebb-4e39-897c-f0ac1d2a816b}" ma:internalName="TaxCatchAll" ma:showField="CatchAllData" ma:web="cfe9110a-28b2-4c73-b490-2f1f5217b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e74fd-7666-4687-a8a8-e7b14a3810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7d88ef6-3d77-4e34-8046-3c35cf87d4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F4D475-E044-4D96-9035-7ADDD324DCA3}"/>
</file>

<file path=customXml/itemProps2.xml><?xml version="1.0" encoding="utf-8"?>
<ds:datastoreItem xmlns:ds="http://schemas.openxmlformats.org/officeDocument/2006/customXml" ds:itemID="{E87E1153-8145-4F44-A47A-71BFEF1A0883}"/>
</file>

<file path=customXml/itemProps3.xml><?xml version="1.0" encoding="utf-8"?>
<ds:datastoreItem xmlns:ds="http://schemas.openxmlformats.org/officeDocument/2006/customXml" ds:itemID="{90C492F8-E041-46CC-B014-2D1852558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Suresh</dc:creator>
  <cp:keywords/>
  <dc:description/>
  <cp:lastModifiedBy>ANUSHESH K K THARU</cp:lastModifiedBy>
  <cp:revision/>
  <dcterms:created xsi:type="dcterms:W3CDTF">2016-11-12T05:53:43Z</dcterms:created>
  <dcterms:modified xsi:type="dcterms:W3CDTF">2025-12-27T16:40:44Z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0x0101002BBD85BC27275743B50F7D5E05F6F235</vt:lpwstr>
  </property>
  <property fmtid="{D5CDD505-2E9C-101B-9397-08002B2CF9AE}" pid="3" name="MediaServiceImageTags">
    <vt:lpwstr/>
  </property>
</Properties>
</file>